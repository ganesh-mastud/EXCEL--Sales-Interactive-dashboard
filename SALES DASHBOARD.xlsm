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8b1ee6ac566b2ec9/Desktop/sales dashboard .xlsx/"/>
    </mc:Choice>
  </mc:AlternateContent>
  <xr:revisionPtr revIDLastSave="0" documentId="8_{B5BF33CE-D911-4E0E-A28C-5B9D4505F975}" xr6:coauthVersionLast="47" xr6:coauthVersionMax="47" xr10:uidLastSave="{00000000-0000-0000-0000-000000000000}"/>
  <bookViews>
    <workbookView xWindow="-108" yWindow="-108" windowWidth="23256" windowHeight="13176" xr2:uid="{0DCC8A39-0C3A-4C7C-8BDA-7DCC49CF0183}"/>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<sst xmlns="http://schemas.openxmlformats.org/spreadsheetml/2006/main" count="96" uniqueCount="54">
  <si>
    <t>Order ID</t>
  </si>
  <si>
    <t>Date</t>
  </si>
  <si>
    <t>Region</t>
  </si>
  <si>
    <t>Salesperson</t>
  </si>
  <si>
    <t>Product</t>
  </si>
  <si>
    <t>Quantity</t>
  </si>
  <si>
    <t>Unit Price</t>
  </si>
  <si>
    <t>Total Sales</t>
  </si>
  <si>
    <t>O001</t>
  </si>
  <si>
    <t>North</t>
  </si>
  <si>
    <t>Amit</t>
  </si>
  <si>
    <t>Laptop</t>
  </si>
  <si>
    <t>O002</t>
  </si>
  <si>
    <t>South</t>
  </si>
  <si>
    <t>Priya</t>
  </si>
  <si>
    <t>Mouse</t>
  </si>
  <si>
    <t>O003</t>
  </si>
  <si>
    <t>East</t>
  </si>
  <si>
    <t>Rahul</t>
  </si>
  <si>
    <t>Keyboard</t>
  </si>
  <si>
    <t>O004</t>
  </si>
  <si>
    <t>West</t>
  </si>
  <si>
    <t>Neha</t>
  </si>
  <si>
    <t>Monitor</t>
  </si>
  <si>
    <t>O005</t>
  </si>
  <si>
    <t>Karan</t>
  </si>
  <si>
    <t>Printer</t>
  </si>
  <si>
    <t>O006</t>
  </si>
  <si>
    <t>Sneha</t>
  </si>
  <si>
    <t>O007</t>
  </si>
  <si>
    <t>Vivek</t>
  </si>
  <si>
    <t>Headphones</t>
  </si>
  <si>
    <t>O008</t>
  </si>
  <si>
    <t>Pooja</t>
  </si>
  <si>
    <t>O009</t>
  </si>
  <si>
    <t>Arjun</t>
  </si>
  <si>
    <t>O010</t>
  </si>
  <si>
    <t>Riya</t>
  </si>
  <si>
    <t>O011</t>
  </si>
  <si>
    <t>Mohit</t>
  </si>
  <si>
    <t>O012</t>
  </si>
  <si>
    <t>Asha</t>
  </si>
  <si>
    <t>O013</t>
  </si>
  <si>
    <t>Deepak</t>
  </si>
  <si>
    <t>O014</t>
  </si>
  <si>
    <t>Meera</t>
  </si>
  <si>
    <t>O015</t>
  </si>
  <si>
    <t>Rohit</t>
  </si>
  <si>
    <t>Sum of Total Sales</t>
  </si>
  <si>
    <t>Row Labels</t>
  </si>
  <si>
    <t>Grand Total</t>
  </si>
  <si>
    <t>Average of Total Sales</t>
  </si>
  <si>
    <t>Max of Total Sales</t>
  </si>
  <si>
    <t>Min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</si>
</sst>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1"/>
      <color theme="1"/>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3" tint="0.89999084444715716"/>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2" borderId="1" xfId="0" applyFont="1" applyFill="1" applyBorder="1" applyAlignment="1">
      <alignment vertical="center" wrapText="1"/>
    </xf>
    <xf numFmtId="0" fontId="0" fillId="3" borderId="1" xfId="0" applyFill="1" applyBorder="1" applyAlignment="1">
      <alignment vertical="center" wrapText="1"/>
    </xf>
    <xf numFmtId="14" fontId="0" fillId="3" borderId="1" xfId="0" applyNumberFormat="1" applyFill="1" applyBorder="1" applyAlignment="1">
      <alignment vertical="center" wrapText="1"/>
    </xf>
    <xf numFmtId="0" fontId="0" fillId="0" borderId="0" xfId="0" pivotButton="1"/>
    <xf numFmtId="0" fontId="0" fillId="0" borderId="0" xfId="0" applyAlignment="1">
      <alignment horizontal="left"/>
    </xf>
    <xf numFmtId="0" fontId="0" fillId="3" borderId="0" xfId="0" applyFill="1"/>
    <xf numFmtId="0" fontId="0" fillId="4" borderId="0" xfId="0" applyFill="1"/>
    <xf numFmtId="0" fontId="0" fillId="0" borderId="0" xfId="0" applyNumberFormat="1"/>
  </cellXfs>
  <cellStyles count="1">
    <cellStyle name="Normal" xfId="0" builtinId="0"/>
  </cellStyles>
  <dxfs count="1">
    <dxf>
      <font>
        <b/>
        <i/>
        <name val="Algerian"/>
        <family val="5"/>
        <scheme val="none"/>
      </font>
      <fill>
        <patternFill>
          <bgColor theme="1" tint="0.24994659260841701"/>
        </patternFill>
      </fill>
    </dxf>
  </dxfs>
  <tableStyles count="1" defaultTableStyle="TableStyleMedium2" defaultPivotStyle="PivotStyleLight16">
    <tableStyle name="Slicer Style 1" pivot="0" table="0" count="6" xr9:uid="{57CF5CB3-4791-44F5-BB17-786E5B0B1802}">
      <tableStyleElement type="wholeTable" dxfId="0"/>
    </tableStyle>
  </tableStyles>
  <extLst>
    <ext xmlns:x14="http://schemas.microsoft.com/office/spreadsheetml/2009/9/main" uri="{46F421CA-312F-682f-3DD2-61675219B42D}">
      <x14:dxfs count="5">
        <dxf>
          <fill>
            <patternFill>
              <bgColor rgb="FF7030A0"/>
            </patternFill>
          </fill>
        </dxf>
        <dxf>
          <fill>
            <patternFill>
              <bgColor rgb="FF00B0F0"/>
            </patternFill>
          </fill>
        </dxf>
        <dxf>
          <fill>
            <patternFill>
              <bgColor rgb="FFFFC000"/>
            </patternFill>
          </fill>
        </dxf>
        <dxf>
          <fill>
            <patternFill>
              <bgColor rgb="FFFFFF00"/>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0"/>
  </c:pivotSource>
  <c:chart>
    <c:autoTitleDeleted val="1"/>
    <c:pivotFmts>
      <c:pivotFmt>
        <c:idx val="0"/>
        <c:spPr>
          <a:solidFill>
            <a:schemeClr val="accent1"/>
          </a:solidFill>
          <a:ln>
            <a:noFill/>
          </a:ln>
          <a:effectLst/>
          <a:sp3d/>
        </c:spPr>
        <c:marker>
          <c:symbol val="none"/>
        </c:marker>
        <c:dLbl>
          <c:idx val="0"/>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chemeClr val="bg2">
            <a:lumMod val="75000"/>
          </a:schemeClr>
        </a:solidFill>
        <a:ln w="25400">
          <a:noFill/>
        </a:ln>
        <a:effectLst/>
        <a:sp3d/>
      </c:spPr>
    </c:sideWall>
    <c:backWall>
      <c:thickness val="0"/>
      <c:spPr>
        <a:solidFill>
          <a:schemeClr val="bg2">
            <a:lumMod val="75000"/>
          </a:schemeClr>
        </a:solidFill>
        <a:ln w="25400">
          <a:noFill/>
        </a:ln>
        <a:effectLst/>
        <a:sp3d/>
      </c:spPr>
    </c:backWall>
    <c:plotArea>
      <c:layout/>
      <c:bar3DChart>
        <c:barDir val="col"/>
        <c:grouping val="clustered"/>
        <c:varyColors val="0"/>
        <c:ser>
          <c:idx val="0"/>
          <c:order val="0"/>
          <c:tx>
            <c:strRef>
              <c:f>DASHBOARD!$B$3</c:f>
              <c:strCache>
                <c:ptCount val="1"/>
                <c:pt idx="0">
                  <c:v>Total</c:v>
                </c:pt>
              </c:strCache>
            </c:strRef>
          </c:tx>
          <c:spPr>
            <a:solidFill>
              <a:schemeClr val="accent1"/>
            </a:solidFill>
            <a:ln>
              <a:noFill/>
            </a:ln>
            <a:effectLst/>
            <a:sp3d/>
          </c:spPr>
          <c:invertIfNegative val="0"/>
          <c:dLbls>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4"/>
                <c:pt idx="0">
                  <c:v>Asha</c:v>
                </c:pt>
                <c:pt idx="1">
                  <c:v>Neha</c:v>
                </c:pt>
                <c:pt idx="2">
                  <c:v>Pooja</c:v>
                </c:pt>
                <c:pt idx="3">
                  <c:v>Rohit</c:v>
                </c:pt>
              </c:strCache>
            </c:strRef>
          </c:cat>
          <c:val>
            <c:numRef>
              <c:f>DASHBOARD!$B$4:$B$8</c:f>
              <c:numCache>
                <c:formatCode>General</c:formatCode>
                <c:ptCount val="4"/>
                <c:pt idx="0">
                  <c:v>165000</c:v>
                </c:pt>
                <c:pt idx="1">
                  <c:v>36000</c:v>
                </c:pt>
                <c:pt idx="2">
                  <c:v>7500</c:v>
                </c:pt>
                <c:pt idx="3">
                  <c:v>30000</c:v>
                </c:pt>
              </c:numCache>
            </c:numRef>
          </c:val>
          <c:extLst>
            <c:ext xmlns:c16="http://schemas.microsoft.com/office/drawing/2014/chart" uri="{C3380CC4-5D6E-409C-BE32-E72D297353CC}">
              <c16:uniqueId val="{00000000-0667-4F2F-93F1-85A19EA76C7E}"/>
            </c:ext>
          </c:extLst>
        </c:ser>
        <c:dLbls>
          <c:showLegendKey val="0"/>
          <c:showVal val="0"/>
          <c:showCatName val="0"/>
          <c:showSerName val="0"/>
          <c:showPercent val="0"/>
          <c:showBubbleSize val="0"/>
        </c:dLbls>
        <c:gapWidth val="150"/>
        <c:shape val="box"/>
        <c:axId val="1866617807"/>
        <c:axId val="1866618767"/>
        <c:axId val="0"/>
      </c:bar3DChart>
      <c:catAx>
        <c:axId val="1866617807"/>
        <c:scaling>
          <c:orientation val="minMax"/>
        </c:scaling>
        <c:delete val="1"/>
        <c:axPos val="b"/>
        <c:numFmt formatCode="General" sourceLinked="1"/>
        <c:majorTickMark val="none"/>
        <c:minorTickMark val="none"/>
        <c:tickLblPos val="nextTo"/>
        <c:crossAx val="1866618767"/>
        <c:crosses val="autoZero"/>
        <c:auto val="1"/>
        <c:lblAlgn val="ctr"/>
        <c:lblOffset val="100"/>
        <c:noMultiLvlLbl val="0"/>
      </c:catAx>
      <c:valAx>
        <c:axId val="186661876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66617807"/>
        <c:crosses val="autoZero"/>
        <c:crossBetween val="between"/>
      </c:valAx>
      <c:spPr>
        <a:solidFill>
          <a:schemeClr val="bg2">
            <a:lumMod val="90000"/>
          </a:schemeClr>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accent2">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DASHBOARD.xlsm]DASHBOARD!PivotTable2</c:name>
    <c:fmtId val="0"/>
  </c:pivotSource>
  <c:chart>
    <c:autoTitleDeleted val="1"/>
    <c:pivotFmts>
      <c:pivotFmt>
        <c:idx val="0"/>
        <c:spPr>
          <a:solidFill>
            <a:schemeClr val="accent1"/>
          </a:solidFill>
          <a:ln>
            <a:noFill/>
          </a:ln>
          <a:effectLst/>
          <a:sp3d/>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DASHBOARD!$E$3</c:f>
              <c:strCache>
                <c:ptCount val="1"/>
                <c:pt idx="0">
                  <c:v>Total</c:v>
                </c:pt>
              </c:strCache>
            </c:strRef>
          </c:tx>
          <c:spPr>
            <a:solidFill>
              <a:schemeClr val="accent1"/>
            </a:solidFill>
            <a:ln>
              <a:noFill/>
            </a:ln>
            <a:effectLst/>
            <a:sp3d/>
          </c:spPr>
          <c:dLbls>
            <c:spPr>
              <a:solidFill>
                <a:schemeClr val="accent2"/>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DASHBOARD!$D$4:$D$8</c:f>
              <c:strCache>
                <c:ptCount val="4"/>
                <c:pt idx="0">
                  <c:v>Asha</c:v>
                </c:pt>
                <c:pt idx="1">
                  <c:v>Neha</c:v>
                </c:pt>
                <c:pt idx="2">
                  <c:v>Pooja</c:v>
                </c:pt>
                <c:pt idx="3">
                  <c:v>Rohit</c:v>
                </c:pt>
              </c:strCache>
            </c:strRef>
          </c:cat>
          <c:val>
            <c:numRef>
              <c:f>DASHBOARD!$E$4:$E$8</c:f>
              <c:numCache>
                <c:formatCode>General</c:formatCode>
                <c:ptCount val="4"/>
                <c:pt idx="0">
                  <c:v>165000</c:v>
                </c:pt>
                <c:pt idx="1">
                  <c:v>36000</c:v>
                </c:pt>
                <c:pt idx="2">
                  <c:v>7500</c:v>
                </c:pt>
                <c:pt idx="3">
                  <c:v>30000</c:v>
                </c:pt>
              </c:numCache>
            </c:numRef>
          </c:val>
          <c:extLst>
            <c:ext xmlns:c16="http://schemas.microsoft.com/office/drawing/2014/chart" uri="{C3380CC4-5D6E-409C-BE32-E72D297353CC}">
              <c16:uniqueId val="{00000000-BA38-4256-92E2-23AA2084DBBA}"/>
            </c:ext>
          </c:extLst>
        </c:ser>
        <c:dLbls>
          <c:showLegendKey val="0"/>
          <c:showVal val="0"/>
          <c:showCatName val="0"/>
          <c:showSerName val="0"/>
          <c:showPercent val="0"/>
          <c:showBubbleSize val="0"/>
        </c:dLbls>
        <c:axId val="1932990607"/>
        <c:axId val="1932988207"/>
        <c:axId val="2099951679"/>
      </c:area3DChart>
      <c:catAx>
        <c:axId val="1932990607"/>
        <c:scaling>
          <c:orientation val="minMax"/>
        </c:scaling>
        <c:delete val="1"/>
        <c:axPos val="b"/>
        <c:numFmt formatCode="General" sourceLinked="1"/>
        <c:majorTickMark val="out"/>
        <c:minorTickMark val="none"/>
        <c:tickLblPos val="nextTo"/>
        <c:crossAx val="1932988207"/>
        <c:crosses val="autoZero"/>
        <c:auto val="1"/>
        <c:lblAlgn val="ctr"/>
        <c:lblOffset val="100"/>
        <c:noMultiLvlLbl val="0"/>
      </c:catAx>
      <c:valAx>
        <c:axId val="193298820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32990607"/>
        <c:crosses val="autoZero"/>
        <c:crossBetween val="midCat"/>
      </c:valAx>
      <c:serAx>
        <c:axId val="2099951679"/>
        <c:scaling>
          <c:orientation val="minMax"/>
        </c:scaling>
        <c:delete val="1"/>
        <c:axPos val="b"/>
        <c:majorTickMark val="out"/>
        <c:minorTickMark val="none"/>
        <c:tickLblPos val="nextTo"/>
        <c:crossAx val="1932988207"/>
        <c:crosses val="autoZero"/>
      </c:ser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DASHBOARD.xlsm]DASHBOARD!PivotTable3</c:name>
    <c:fmtId val="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DASHBOARD!$I$3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250-4B4E-858B-736345C8B6C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250-4B4E-858B-736345C8B6C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250-4B4E-858B-736345C8B6C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250-4B4E-858B-736345C8B6CF}"/>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DASHBOARD!$H$4:$H$8</c:f>
              <c:strCache>
                <c:ptCount val="4"/>
                <c:pt idx="0">
                  <c:v>Asha</c:v>
                </c:pt>
                <c:pt idx="1">
                  <c:v>Neha</c:v>
                </c:pt>
                <c:pt idx="2">
                  <c:v>Pooja</c:v>
                </c:pt>
                <c:pt idx="3">
                  <c:v>Rohit</c:v>
                </c:pt>
              </c:strCache>
            </c:strRef>
          </c:cat>
          <c:val>
            <c:numRef>
              <c:f>DASHBOARD!$I$4:$I$8</c:f>
              <c:numCache>
                <c:formatCode>General</c:formatCode>
                <c:ptCount val="4"/>
                <c:pt idx="0">
                  <c:v>165000</c:v>
                </c:pt>
                <c:pt idx="1">
                  <c:v>36000</c:v>
                </c:pt>
                <c:pt idx="2">
                  <c:v>7500</c:v>
                </c:pt>
                <c:pt idx="3">
                  <c:v>30000</c:v>
                </c:pt>
              </c:numCache>
            </c:numRef>
          </c:val>
          <c:extLst>
            <c:ext xmlns:c16="http://schemas.microsoft.com/office/drawing/2014/chart" uri="{C3380CC4-5D6E-409C-BE32-E72D297353CC}">
              <c16:uniqueId val="{00000000-EFF5-4D16-AB3B-6AFC3A0DAE6F}"/>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DASHBOARD.xlsm]DASHBOARD!PivotTable4</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DASHBOARD!$M$3</c:f>
              <c:strCache>
                <c:ptCount val="1"/>
                <c:pt idx="0">
                  <c:v>Total</c:v>
                </c:pt>
              </c:strCache>
            </c:strRef>
          </c:tx>
          <c:spPr>
            <a:solidFill>
              <a:schemeClr val="accent1"/>
            </a:solidFill>
            <a:ln>
              <a:noFill/>
            </a:ln>
            <a:effectLst/>
          </c:spP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DASHBOARD!$L$4:$L$8</c:f>
              <c:strCache>
                <c:ptCount val="4"/>
                <c:pt idx="0">
                  <c:v>Asha</c:v>
                </c:pt>
                <c:pt idx="1">
                  <c:v>Neha</c:v>
                </c:pt>
                <c:pt idx="2">
                  <c:v>Pooja</c:v>
                </c:pt>
                <c:pt idx="3">
                  <c:v>Rohit</c:v>
                </c:pt>
              </c:strCache>
            </c:strRef>
          </c:cat>
          <c:val>
            <c:numRef>
              <c:f>DASHBOARD!$M$4:$M$8</c:f>
              <c:numCache>
                <c:formatCode>General</c:formatCode>
                <c:ptCount val="4"/>
                <c:pt idx="0">
                  <c:v>165000</c:v>
                </c:pt>
                <c:pt idx="1">
                  <c:v>36000</c:v>
                </c:pt>
                <c:pt idx="2">
                  <c:v>7500</c:v>
                </c:pt>
                <c:pt idx="3">
                  <c:v>30000</c:v>
                </c:pt>
              </c:numCache>
            </c:numRef>
          </c:val>
          <c:extLst>
            <c:ext xmlns:c16="http://schemas.microsoft.com/office/drawing/2014/chart" uri="{C3380CC4-5D6E-409C-BE32-E72D297353CC}">
              <c16:uniqueId val="{00000000-75E7-4AFA-935B-15325B1D5E3B}"/>
            </c:ext>
          </c:extLst>
        </c:ser>
        <c:dLbls>
          <c:showLegendKey val="0"/>
          <c:showVal val="0"/>
          <c:showCatName val="0"/>
          <c:showSerName val="0"/>
          <c:showPercent val="0"/>
          <c:showBubbleSize val="0"/>
        </c:dLbls>
        <c:axId val="2104712223"/>
        <c:axId val="2104710303"/>
      </c:radarChart>
      <c:catAx>
        <c:axId val="2104712223"/>
        <c:scaling>
          <c:orientation val="minMax"/>
        </c:scaling>
        <c:delete val="1"/>
        <c:axPos val="b"/>
        <c:numFmt formatCode="General" sourceLinked="1"/>
        <c:majorTickMark val="none"/>
        <c:minorTickMark val="none"/>
        <c:tickLblPos val="nextTo"/>
        <c:crossAx val="2104710303"/>
        <c:crosses val="autoZero"/>
        <c:auto val="1"/>
        <c:lblAlgn val="ctr"/>
        <c:lblOffset val="100"/>
        <c:noMultiLvlLbl val="0"/>
      </c:catAx>
      <c:valAx>
        <c:axId val="210471030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04712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L$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H$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0</xdr:rowOff>
    </xdr:from>
    <xdr:to>
      <xdr:col>1</xdr:col>
      <xdr:colOff>2446020</xdr:colOff>
      <xdr:row>11</xdr:row>
      <xdr:rowOff>3810</xdr:rowOff>
    </xdr:to>
    <xdr:graphicFrame macro="">
      <xdr:nvGraphicFramePr>
        <xdr:cNvPr id="2" name="Chart 1">
          <a:extLst>
            <a:ext uri="{FF2B5EF4-FFF2-40B4-BE49-F238E27FC236}">
              <a16:creationId xmlns:a16="http://schemas.microsoft.com/office/drawing/2014/main" id="{A8B42373-917A-B248-D464-613E608B06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182880</xdr:colOff>
      <xdr:row>9</xdr:row>
      <xdr:rowOff>167640</xdr:rowOff>
    </xdr:from>
    <xdr:to>
      <xdr:col>4</xdr:col>
      <xdr:colOff>2301240</xdr:colOff>
      <xdr:row>10</xdr:row>
      <xdr:rowOff>2087880</xdr:rowOff>
    </xdr:to>
    <xdr:graphicFrame macro="">
      <xdr:nvGraphicFramePr>
        <xdr:cNvPr id="3" name="Chart 2">
          <a:extLst>
            <a:ext uri="{FF2B5EF4-FFF2-40B4-BE49-F238E27FC236}">
              <a16:creationId xmlns:a16="http://schemas.microsoft.com/office/drawing/2014/main" id="{97136C0C-B685-AE45-9372-67A25BE9C6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217170</xdr:colOff>
      <xdr:row>10</xdr:row>
      <xdr:rowOff>0</xdr:rowOff>
    </xdr:from>
    <xdr:to>
      <xdr:col>9</xdr:col>
      <xdr:colOff>15240</xdr:colOff>
      <xdr:row>11</xdr:row>
      <xdr:rowOff>53340</xdr:rowOff>
    </xdr:to>
    <xdr:graphicFrame macro="">
      <xdr:nvGraphicFramePr>
        <xdr:cNvPr id="4" name="Chart 3">
          <a:extLst>
            <a:ext uri="{FF2B5EF4-FFF2-40B4-BE49-F238E27FC236}">
              <a16:creationId xmlns:a16="http://schemas.microsoft.com/office/drawing/2014/main" id="{F4D708D7-287D-A05E-EABF-EF1E8A8A43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15240</xdr:colOff>
      <xdr:row>10</xdr:row>
      <xdr:rowOff>76200</xdr:rowOff>
    </xdr:from>
    <xdr:to>
      <xdr:col>13</xdr:col>
      <xdr:colOff>7620</xdr:colOff>
      <xdr:row>11</xdr:row>
      <xdr:rowOff>38100</xdr:rowOff>
    </xdr:to>
    <xdr:graphicFrame macro="">
      <xdr:nvGraphicFramePr>
        <xdr:cNvPr id="5" name="Chart 4">
          <a:extLst>
            <a:ext uri="{FF2B5EF4-FFF2-40B4-BE49-F238E27FC236}">
              <a16:creationId xmlns:a16="http://schemas.microsoft.com/office/drawing/2014/main" id="{58E0FBE4-AC08-842F-6837-937BDDF560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15240</xdr:colOff>
      <xdr:row>0</xdr:row>
      <xdr:rowOff>937261</xdr:rowOff>
    </xdr:from>
    <xdr:to>
      <xdr:col>13</xdr:col>
      <xdr:colOff>49816</xdr:colOff>
      <xdr:row>1</xdr:row>
      <xdr:rowOff>373381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B919AEE-396E-9981-82AA-24BAA18DE4C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240" y="937261"/>
              <a:ext cx="13217176"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7620</xdr:rowOff>
    </xdr:from>
    <xdr:to>
      <xdr:col>1</xdr:col>
      <xdr:colOff>1150620</xdr:colOff>
      <xdr:row>0</xdr:row>
      <xdr:rowOff>701040</xdr:rowOff>
    </xdr:to>
    <xdr:sp macro="" textlink="">
      <xdr:nvSpPr>
        <xdr:cNvPr id="8" name="Speech Bubble: Rectangle 7">
          <a:extLst>
            <a:ext uri="{FF2B5EF4-FFF2-40B4-BE49-F238E27FC236}">
              <a16:creationId xmlns:a16="http://schemas.microsoft.com/office/drawing/2014/main" id="{0E3E96B0-288C-E8ED-F52E-565870B5E7C2}"/>
            </a:ext>
          </a:extLst>
        </xdr:cNvPr>
        <xdr:cNvSpPr/>
      </xdr:nvSpPr>
      <xdr:spPr>
        <a:xfrm>
          <a:off x="0" y="7620"/>
          <a:ext cx="2004060" cy="693420"/>
        </a:xfrm>
        <a:prstGeom prst="wedgeRectCallout">
          <a:avLst/>
        </a:prstGeom>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144780</xdr:colOff>
      <xdr:row>0</xdr:row>
      <xdr:rowOff>38100</xdr:rowOff>
    </xdr:from>
    <xdr:to>
      <xdr:col>4</xdr:col>
      <xdr:colOff>1097280</xdr:colOff>
      <xdr:row>0</xdr:row>
      <xdr:rowOff>731520</xdr:rowOff>
    </xdr:to>
    <xdr:sp macro="" textlink="">
      <xdr:nvSpPr>
        <xdr:cNvPr id="9" name="Speech Bubble: Rectangle 8">
          <a:extLst>
            <a:ext uri="{FF2B5EF4-FFF2-40B4-BE49-F238E27FC236}">
              <a16:creationId xmlns:a16="http://schemas.microsoft.com/office/drawing/2014/main" id="{D013C118-6ADF-4E2A-9511-84A47EDD44D0}"/>
            </a:ext>
          </a:extLst>
        </xdr:cNvPr>
        <xdr:cNvSpPr/>
      </xdr:nvSpPr>
      <xdr:spPr>
        <a:xfrm>
          <a:off x="3459480" y="38100"/>
          <a:ext cx="2004060" cy="693420"/>
        </a:xfrm>
        <a:prstGeom prst="wedgeRectCallou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236220</xdr:colOff>
      <xdr:row>0</xdr:row>
      <xdr:rowOff>22860</xdr:rowOff>
    </xdr:from>
    <xdr:to>
      <xdr:col>8</xdr:col>
      <xdr:colOff>1112520</xdr:colOff>
      <xdr:row>0</xdr:row>
      <xdr:rowOff>716280</xdr:rowOff>
    </xdr:to>
    <xdr:sp macro="" textlink="">
      <xdr:nvSpPr>
        <xdr:cNvPr id="10" name="Speech Bubble: Rectangle 9">
          <a:extLst>
            <a:ext uri="{FF2B5EF4-FFF2-40B4-BE49-F238E27FC236}">
              <a16:creationId xmlns:a16="http://schemas.microsoft.com/office/drawing/2014/main" id="{E7BC1F81-B0CF-4AEA-93FB-51431C24BC4B}"/>
            </a:ext>
          </a:extLst>
        </xdr:cNvPr>
        <xdr:cNvSpPr/>
      </xdr:nvSpPr>
      <xdr:spPr>
        <a:xfrm>
          <a:off x="6911340" y="22860"/>
          <a:ext cx="2004060" cy="693420"/>
        </a:xfrm>
        <a:prstGeom prst="wedgeRectCallou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213360</xdr:colOff>
      <xdr:row>0</xdr:row>
      <xdr:rowOff>15240</xdr:rowOff>
    </xdr:from>
    <xdr:to>
      <xdr:col>12</xdr:col>
      <xdr:colOff>1135380</xdr:colOff>
      <xdr:row>0</xdr:row>
      <xdr:rowOff>708660</xdr:rowOff>
    </xdr:to>
    <xdr:sp macro="" textlink="">
      <xdr:nvSpPr>
        <xdr:cNvPr id="11" name="Speech Bubble: Rectangle 10">
          <a:extLst>
            <a:ext uri="{FF2B5EF4-FFF2-40B4-BE49-F238E27FC236}">
              <a16:creationId xmlns:a16="http://schemas.microsoft.com/office/drawing/2014/main" id="{F4731299-9D82-4810-B845-E3E38BB22DB2}"/>
            </a:ext>
          </a:extLst>
        </xdr:cNvPr>
        <xdr:cNvSpPr/>
      </xdr:nvSpPr>
      <xdr:spPr>
        <a:xfrm>
          <a:off x="10180320" y="15240"/>
          <a:ext cx="2004060" cy="693420"/>
        </a:xfrm>
        <a:prstGeom prst="wedgeRectCallou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0</xdr:row>
          <xdr:rowOff>198120</xdr:rowOff>
        </xdr:from>
        <xdr:to>
          <xdr:col>1</xdr:col>
          <xdr:colOff>762000</xdr:colOff>
          <xdr:row>0</xdr:row>
          <xdr:rowOff>487680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chart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289560</xdr:colOff>
          <xdr:row>0</xdr:row>
          <xdr:rowOff>129540</xdr:rowOff>
        </xdr:from>
        <xdr:to>
          <xdr:col>12</xdr:col>
          <xdr:colOff>601980</xdr:colOff>
          <xdr:row>0</xdr:row>
          <xdr:rowOff>419100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chart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0</xdr:row>
          <xdr:rowOff>205740</xdr:rowOff>
        </xdr:from>
        <xdr:to>
          <xdr:col>4</xdr:col>
          <xdr:colOff>899160</xdr:colOff>
          <xdr:row>0</xdr:row>
          <xdr:rowOff>563880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chart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198120</xdr:colOff>
          <xdr:row>0</xdr:row>
          <xdr:rowOff>152400</xdr:rowOff>
        </xdr:from>
        <xdr:to>
          <xdr:col>8</xdr:col>
          <xdr:colOff>762000</xdr:colOff>
          <xdr:row>0</xdr:row>
          <xdr:rowOff>449580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chart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07.655562384258" createdVersion="8" refreshedVersion="8" minRefreshableVersion="3" recordCount="15" xr:uid="{9D90C3C5-8CCC-4E1A-A5FF-60EAE7EBADDF}">
  <cacheSource type="worksheet">
    <worksheetSource ref="A1:H16" sheet="RAW DATA"/>
  </cacheSource>
  <cacheFields count="8">
    <cacheField name="Order ID" numFmtId="0">
      <sharedItems/>
    </cacheField>
    <cacheField name="Date" numFmtId="14">
      <sharedItems containsSemiMixedTypes="0" containsNonDate="0" containsDate="1" containsString="0" minDate="2026-07-01T00:00:00" maxDate="2026-07-09T00:00:00"/>
    </cacheField>
    <cacheField name="Region" numFmtId="0">
      <sharedItems count="4">
        <s v="North"/>
        <s v="South"/>
        <s v="East"/>
        <s v="West"/>
      </sharedItems>
    </cacheField>
    <cacheField name="Salesperson" numFmtId="0">
      <sharedItems count="15">
        <s v="Amit"/>
        <s v="Priya"/>
        <s v="Rahul"/>
        <s v="Neha"/>
        <s v="Karan"/>
        <s v="Sneha"/>
        <s v="Vivek"/>
        <s v="Pooja"/>
        <s v="Arjun"/>
        <s v="Riya"/>
        <s v="Mohit"/>
        <s v="Asha"/>
        <s v="Deepak"/>
        <s v="Meera"/>
        <s v="Rohit"/>
      </sharedItems>
    </cacheField>
    <cacheField name="Product" numFmtId="0">
      <sharedItems/>
    </cacheField>
    <cacheField name="Quantity" numFmtId="0">
      <sharedItems containsSemiMixedTypes="0" containsString="0" containsNumber="1" containsInteger="1" minValue="1" maxValue="15"/>
    </cacheField>
    <cacheField name="Unit Price" numFmtId="0">
      <sharedItems containsSemiMixedTypes="0" containsString="0" containsNumber="1" containsInteger="1" minValue="500" maxValue="60000"/>
    </cacheField>
    <cacheField name="Total Sales" numFmtId="0">
      <sharedItems containsSemiMixedTypes="0" containsString="0" containsNumber="1" containsInteger="1" minValue="5000" maxValue="165000"/>
    </cacheField>
  </cacheFields>
  <extLst>
    <ext xmlns:x14="http://schemas.microsoft.com/office/spreadsheetml/2009/9/main" uri="{725AE2AE-9491-48be-B2B4-4EB974FC3084}">
      <x14:pivotCacheDefinition pivotCacheId="1799382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s v="O001"/>
    <d v="2026-07-01T00:00:00"/>
    <x v="0"/>
    <x v="0"/>
    <s v="Laptop"/>
    <n v="2"/>
    <n v="55000"/>
    <n v="110000"/>
  </r>
  <r>
    <s v="O002"/>
    <d v="2026-07-01T00:00:00"/>
    <x v="1"/>
    <x v="1"/>
    <s v="Mouse"/>
    <n v="10"/>
    <n v="500"/>
    <n v="5000"/>
  </r>
  <r>
    <s v="O003"/>
    <d v="2026-07-02T00:00:00"/>
    <x v="2"/>
    <x v="2"/>
    <s v="Keyboard"/>
    <n v="5"/>
    <n v="1200"/>
    <n v="6000"/>
  </r>
  <r>
    <s v="O004"/>
    <d v="2026-07-02T00:00:00"/>
    <x v="3"/>
    <x v="3"/>
    <s v="Monitor"/>
    <n v="3"/>
    <n v="12000"/>
    <n v="36000"/>
  </r>
  <r>
    <s v="O005"/>
    <d v="2026-07-03T00:00:00"/>
    <x v="0"/>
    <x v="4"/>
    <s v="Printer"/>
    <n v="2"/>
    <n v="15000"/>
    <n v="30000"/>
  </r>
  <r>
    <s v="O006"/>
    <d v="2026-07-03T00:00:00"/>
    <x v="1"/>
    <x v="5"/>
    <s v="Laptop"/>
    <n v="1"/>
    <n v="60000"/>
    <n v="60000"/>
  </r>
  <r>
    <s v="O007"/>
    <d v="2026-07-04T00:00:00"/>
    <x v="2"/>
    <x v="6"/>
    <s v="Headphones"/>
    <n v="8"/>
    <n v="2500"/>
    <n v="20000"/>
  </r>
  <r>
    <s v="O008"/>
    <d v="2026-07-04T00:00:00"/>
    <x v="3"/>
    <x v="7"/>
    <s v="Mouse"/>
    <n v="15"/>
    <n v="500"/>
    <n v="7500"/>
  </r>
  <r>
    <s v="O009"/>
    <d v="2026-07-05T00:00:00"/>
    <x v="0"/>
    <x v="8"/>
    <s v="Keyboard"/>
    <n v="6"/>
    <n v="1200"/>
    <n v="7200"/>
  </r>
  <r>
    <s v="O010"/>
    <d v="2026-07-05T00:00:00"/>
    <x v="1"/>
    <x v="9"/>
    <s v="Monitor"/>
    <n v="2"/>
    <n v="12000"/>
    <n v="24000"/>
  </r>
  <r>
    <s v="O011"/>
    <d v="2026-07-06T00:00:00"/>
    <x v="2"/>
    <x v="10"/>
    <s v="Printer"/>
    <n v="1"/>
    <n v="15000"/>
    <n v="15000"/>
  </r>
  <r>
    <s v="O012"/>
    <d v="2026-07-06T00:00:00"/>
    <x v="3"/>
    <x v="11"/>
    <s v="Laptop"/>
    <n v="3"/>
    <n v="55000"/>
    <n v="165000"/>
  </r>
  <r>
    <s v="O013"/>
    <d v="2026-07-07T00:00:00"/>
    <x v="0"/>
    <x v="12"/>
    <s v="Headphones"/>
    <n v="4"/>
    <n v="2500"/>
    <n v="10000"/>
  </r>
  <r>
    <s v="O014"/>
    <d v="2026-07-07T00:00:00"/>
    <x v="1"/>
    <x v="13"/>
    <s v="Keyboard"/>
    <n v="7"/>
    <n v="1200"/>
    <n v="8400"/>
  </r>
  <r>
    <s v="O015"/>
    <d v="2026-07-08T00:00:00"/>
    <x v="3"/>
    <x v="14"/>
    <s v="Printer"/>
    <n v="2"/>
    <n v="15000"/>
    <n v="3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EEB505-1D4E-4FEB-9057-337B7347416D}" name="PivotTable3" cacheId="1" applyNumberFormats="0" applyBorderFormats="0" applyFontFormats="0" applyPatternFormats="0" applyAlignmentFormats="0" applyWidthHeightFormats="1" dataCaption="Values" updatedVersion="8" minRefreshableVersion="3" preserveFormatting="0" itemPrintTitles="1" createdVersion="8" indent="0" outline="1" outlineData="1" multipleFieldFilters="0" chartFormat="2">
  <location ref="H3:I8" firstHeaderRow="1" firstDataRow="1" firstDataCol="1"/>
  <pivotFields count="8">
    <pivotField showAll="0"/>
    <pivotField numFmtId="14" showAll="0"/>
    <pivotField showAll="0">
      <items count="5">
        <item h="1" x="2"/>
        <item h="1" x="0"/>
        <item h="1" x="1"/>
        <item x="3"/>
        <item t="default"/>
      </items>
    </pivotField>
    <pivotField axis="axisRow" showAll="0" measureFilter="1">
      <items count="16">
        <item x="0"/>
        <item x="8"/>
        <item x="11"/>
        <item x="12"/>
        <item x="4"/>
        <item x="13"/>
        <item x="10"/>
        <item x="3"/>
        <item x="7"/>
        <item x="1"/>
        <item x="2"/>
        <item x="9"/>
        <item x="14"/>
        <item x="5"/>
        <item x="6"/>
        <item t="default"/>
      </items>
    </pivotField>
    <pivotField showAll="0"/>
    <pivotField showAll="0"/>
    <pivotField showAll="0"/>
    <pivotField dataField="1" showAll="0"/>
  </pivotFields>
  <rowFields count="1">
    <field x="3"/>
  </rowFields>
  <rowItems count="5">
    <i>
      <x v="2"/>
    </i>
    <i>
      <x v="7"/>
    </i>
    <i>
      <x v="8"/>
    </i>
    <i>
      <x v="12"/>
    </i>
    <i t="grand">
      <x/>
    </i>
  </rowItems>
  <colItems count="1">
    <i/>
  </colItems>
  <dataFields count="1">
    <dataField name="Average of Total Sales" fld="7" subtotal="average" baseField="3" baseItem="4"/>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2"/>
          </reference>
        </references>
      </pivotArea>
    </chartFormat>
    <chartFormat chart="0" format="2">
      <pivotArea type="data" outline="0" fieldPosition="0">
        <references count="2">
          <reference field="4294967294" count="1" selected="0">
            <x v="0"/>
          </reference>
          <reference field="3" count="1" selected="0">
            <x v="7"/>
          </reference>
        </references>
      </pivotArea>
    </chartFormat>
    <chartFormat chart="0" format="3">
      <pivotArea type="data" outline="0" fieldPosition="0">
        <references count="2">
          <reference field="4294967294" count="1" selected="0">
            <x v="0"/>
          </reference>
          <reference field="3" count="1" selected="0">
            <x v="8"/>
          </reference>
        </references>
      </pivotArea>
    </chartFormat>
    <chartFormat chart="0" format="4">
      <pivotArea type="data" outline="0" fieldPosition="0">
        <references count="2">
          <reference field="4294967294" count="1" selected="0">
            <x v="0"/>
          </reference>
          <reference field="3" count="1" selected="0">
            <x v="12"/>
          </reference>
        </references>
      </pivotArea>
    </chartFormat>
    <chartFormat chart="0" format="5">
      <pivotArea type="data" outline="0" fieldPosition="0">
        <references count="2">
          <reference field="4294967294" count="1" selected="0">
            <x v="0"/>
          </reference>
          <reference field="3" count="1" selected="0">
            <x v="0"/>
          </reference>
        </references>
      </pivotArea>
    </chartFormat>
    <chartFormat chart="0" format="6">
      <pivotArea type="data" outline="0" fieldPosition="0">
        <references count="2">
          <reference field="4294967294" count="1" selected="0">
            <x v="0"/>
          </reference>
          <reference field="3" count="1" selected="0">
            <x v="1"/>
          </reference>
        </references>
      </pivotArea>
    </chartFormat>
    <chartFormat chart="0" format="7">
      <pivotArea type="data" outline="0" fieldPosition="0">
        <references count="2">
          <reference field="4294967294" count="1" selected="0">
            <x v="0"/>
          </reference>
          <reference field="3" count="1" selected="0">
            <x v="3"/>
          </reference>
        </references>
      </pivotArea>
    </chartFormat>
    <chartFormat chart="0" format="8">
      <pivotArea type="data" outline="0" fieldPosition="0">
        <references count="2">
          <reference field="4294967294" count="1" selected="0">
            <x v="0"/>
          </reference>
          <reference field="3" count="1" selected="0">
            <x v="4"/>
          </reference>
        </references>
      </pivotArea>
    </chartFormat>
  </chartFormats>
  <pivotTableStyleInfo name="PivotStyleDark17"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F9605F-0D2D-4173-9A76-91C625FAD1CF}" name="PivotTable2" cacheId="1" applyNumberFormats="0" applyBorderFormats="0" applyFontFormats="0" applyPatternFormats="0" applyAlignmentFormats="0" applyWidthHeightFormats="1" dataCaption="Values" updatedVersion="8" minRefreshableVersion="3" preserveFormatting="0" itemPrintTitles="1" createdVersion="8" indent="0" outline="1" outlineData="1" multipleFieldFilters="0" chartFormat="2">
  <location ref="D3:E8" firstHeaderRow="1" firstDataRow="1" firstDataCol="1"/>
  <pivotFields count="8">
    <pivotField showAll="0"/>
    <pivotField numFmtId="14" showAll="0"/>
    <pivotField showAll="0">
      <items count="5">
        <item h="1" x="2"/>
        <item h="1" x="0"/>
        <item h="1" x="1"/>
        <item x="3"/>
        <item t="default"/>
      </items>
    </pivotField>
    <pivotField axis="axisRow" showAll="0" measureFilter="1">
      <items count="16">
        <item x="0"/>
        <item x="8"/>
        <item x="11"/>
        <item x="12"/>
        <item x="4"/>
        <item x="13"/>
        <item x="10"/>
        <item x="3"/>
        <item x="7"/>
        <item x="1"/>
        <item x="2"/>
        <item x="9"/>
        <item x="14"/>
        <item x="5"/>
        <item x="6"/>
        <item t="default"/>
      </items>
    </pivotField>
    <pivotField showAll="0"/>
    <pivotField showAll="0"/>
    <pivotField showAll="0"/>
    <pivotField dataField="1" showAll="0"/>
  </pivotFields>
  <rowFields count="1">
    <field x="3"/>
  </rowFields>
  <rowItems count="5">
    <i>
      <x v="2"/>
    </i>
    <i>
      <x v="7"/>
    </i>
    <i>
      <x v="8"/>
    </i>
    <i>
      <x v="12"/>
    </i>
    <i t="grand">
      <x/>
    </i>
  </rowItems>
  <colItems count="1">
    <i/>
  </colItems>
  <dataFields count="1">
    <dataField name="Max of Total Sales" fld="7" subtotal="max" baseField="3"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6CECC1-1733-4E94-A6EB-8BB1995D1F7D}" name="PivotTable1" cacheId="1" applyNumberFormats="0" applyBorderFormats="0" applyFontFormats="0" applyPatternFormats="0" applyAlignmentFormats="0" applyWidthHeightFormats="1" dataCaption="Values" updatedVersion="8" minRefreshableVersion="3" preserveFormatting="0" itemPrintTitles="1" createdVersion="8" indent="0" outline="1" outlineData="1" multipleFieldFilters="0" chartFormat="3">
  <location ref="A3:B8" firstHeaderRow="1" firstDataRow="1" firstDataCol="1"/>
  <pivotFields count="8">
    <pivotField showAll="0"/>
    <pivotField numFmtId="14" showAll="0"/>
    <pivotField showAll="0">
      <items count="5">
        <item h="1" x="2"/>
        <item h="1" x="0"/>
        <item h="1" x="1"/>
        <item x="3"/>
        <item t="default"/>
      </items>
    </pivotField>
    <pivotField axis="axisRow" showAll="0" measureFilter="1">
      <items count="16">
        <item x="0"/>
        <item x="8"/>
        <item x="11"/>
        <item x="12"/>
        <item x="4"/>
        <item x="13"/>
        <item x="10"/>
        <item x="3"/>
        <item x="7"/>
        <item x="1"/>
        <item x="2"/>
        <item x="9"/>
        <item x="14"/>
        <item x="5"/>
        <item x="6"/>
        <item t="default"/>
      </items>
    </pivotField>
    <pivotField showAll="0"/>
    <pivotField showAll="0"/>
    <pivotField showAll="0"/>
    <pivotField dataField="1" showAll="0"/>
  </pivotFields>
  <rowFields count="1">
    <field x="3"/>
  </rowFields>
  <rowItems count="5">
    <i>
      <x v="2"/>
    </i>
    <i>
      <x v="7"/>
    </i>
    <i>
      <x v="8"/>
    </i>
    <i>
      <x v="12"/>
    </i>
    <i t="grand">
      <x/>
    </i>
  </rowItems>
  <colItems count="1">
    <i/>
  </colItems>
  <dataFields count="1">
    <dataField name="Sum of Total Sales" fld="7" baseField="3" baseItem="12"/>
  </dataFields>
  <chartFormats count="1">
    <chartFormat chart="0" format="0" series="1">
      <pivotArea type="data" outline="0" fieldPosition="0">
        <references count="1">
          <reference field="4294967294" count="1" selected="0">
            <x v="0"/>
          </reference>
        </references>
      </pivotArea>
    </chartFormat>
  </chartFormats>
  <pivotTableStyleInfo name="PivotStyleDark18"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9D0C98-F247-4571-B95A-9355720EBE81}" name="PivotTable4" cacheId="1" applyNumberFormats="0" applyBorderFormats="0" applyFontFormats="0" applyPatternFormats="0" applyAlignmentFormats="0" applyWidthHeightFormats="1" dataCaption="Values" updatedVersion="8" minRefreshableVersion="3" preserveFormatting="0" itemPrintTitles="1" createdVersion="8" indent="0" outline="1" outlineData="1" multipleFieldFilters="0" chartFormat="3">
  <location ref="L3:M8" firstHeaderRow="1" firstDataRow="1" firstDataCol="1"/>
  <pivotFields count="8">
    <pivotField showAll="0"/>
    <pivotField numFmtId="14" showAll="0"/>
    <pivotField showAll="0">
      <items count="5">
        <item h="1" x="2"/>
        <item h="1" x="0"/>
        <item h="1" x="1"/>
        <item x="3"/>
        <item t="default"/>
      </items>
    </pivotField>
    <pivotField axis="axisRow" showAll="0" measureFilter="1">
      <items count="16">
        <item x="0"/>
        <item x="8"/>
        <item x="11"/>
        <item x="12"/>
        <item x="4"/>
        <item x="13"/>
        <item x="10"/>
        <item x="3"/>
        <item x="7"/>
        <item x="1"/>
        <item x="2"/>
        <item x="9"/>
        <item x="14"/>
        <item x="5"/>
        <item x="6"/>
        <item t="default"/>
      </items>
    </pivotField>
    <pivotField showAll="0"/>
    <pivotField showAll="0"/>
    <pivotField showAll="0"/>
    <pivotField dataField="1" showAll="0"/>
  </pivotFields>
  <rowFields count="1">
    <field x="3"/>
  </rowFields>
  <rowItems count="5">
    <i>
      <x v="2"/>
    </i>
    <i>
      <x v="7"/>
    </i>
    <i>
      <x v="8"/>
    </i>
    <i>
      <x v="12"/>
    </i>
    <i t="grand">
      <x/>
    </i>
  </rowItems>
  <colItems count="1">
    <i/>
  </colItems>
  <dataFields count="1">
    <dataField name="Min of Total Sales" fld="7" subtotal="min" baseField="3" baseItem="4"/>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B5B26CC-72D4-429A-A938-BCA8A0AFA6D4}" sourceName="Region">
  <pivotTables>
    <pivotTable tabId="2" name="PivotTable3"/>
    <pivotTable tabId="2" name="PivotTable4"/>
    <pivotTable tabId="2" name="PivotTable2"/>
    <pivotTable tabId="2" name="PivotTable1"/>
  </pivotTables>
  <data>
    <tabular pivotCacheId="179938207">
      <items count="4">
        <i x="2"/>
        <i x="0"/>
        <i x="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127C4E5-6284-4499-9C62-132DF0CF787B}" cache="Slicer_Region" caption="Region" columnCount="4" showCaption="0" style="Slicer Style 1"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5DF95-DF00-4F0B-A0FF-3319B2B04D87}">
  <sheetPr codeName="Sheet1"/>
  <dimension ref="A1:M14"/>
  <sheetViews>
    <sheetView tabSelected="1" zoomScale="97" workbookViewId="0">
      <selection activeCell="I8" sqref="I8"/>
    </sheetView>
  </sheetViews>
  <sheetFormatPr defaultRowHeight="14.4" x14ac:dyDescent="0.3"/>
  <cols>
    <col min="1" max="1" width="12.44140625" customWidth="1"/>
    <col min="2" max="2" width="35.88671875" customWidth="1"/>
    <col min="3" max="3" width="2.88671875" customWidth="1"/>
    <col min="4" max="4" width="12.44140625" bestFit="1" customWidth="1"/>
    <col min="5" max="5" width="33.6640625" customWidth="1"/>
    <col min="6" max="6" width="4" customWidth="1"/>
    <col min="7" max="7" width="8.88671875" hidden="1" customWidth="1"/>
    <col min="8" max="8" width="12.44140625" bestFit="1" customWidth="1"/>
    <col min="9" max="9" width="31.5546875" customWidth="1"/>
    <col min="10" max="10" width="3.33203125" customWidth="1"/>
    <col min="11" max="11" width="8.88671875" hidden="1" customWidth="1"/>
    <col min="12" max="12" width="12.44140625" bestFit="1" customWidth="1"/>
    <col min="13" max="13" width="31.109375" customWidth="1"/>
  </cols>
  <sheetData>
    <row r="1" spans="1:13" ht="94.8" customHeight="1" x14ac:dyDescent="0.3">
      <c r="A1" s="6" t="b">
        <v>1</v>
      </c>
      <c r="B1" s="6"/>
      <c r="C1" s="6"/>
      <c r="D1" s="6" t="b">
        <v>1</v>
      </c>
      <c r="E1" s="6"/>
      <c r="F1" s="6"/>
      <c r="G1" s="6"/>
      <c r="H1" s="6" t="b">
        <v>1</v>
      </c>
      <c r="I1" s="6"/>
      <c r="J1" s="6"/>
      <c r="K1" s="6"/>
      <c r="L1" s="6" t="b">
        <v>0</v>
      </c>
      <c r="M1" s="6"/>
    </row>
    <row r="2" spans="1:13" ht="43.8" customHeight="1" x14ac:dyDescent="0.3">
      <c r="A2" s="6"/>
      <c r="B2" s="6"/>
      <c r="C2" s="6"/>
      <c r="D2" s="6"/>
      <c r="E2" s="6"/>
      <c r="F2" s="6"/>
      <c r="G2" s="6"/>
      <c r="H2" s="6"/>
      <c r="I2" s="6"/>
      <c r="J2" s="6"/>
      <c r="K2" s="6"/>
      <c r="L2" s="6"/>
      <c r="M2" s="6"/>
    </row>
    <row r="3" spans="1:13" x14ac:dyDescent="0.3">
      <c r="A3" s="4" t="s">
        <v>49</v>
      </c>
      <c r="B3" t="s">
        <v>48</v>
      </c>
      <c r="C3" s="6"/>
      <c r="D3" s="4" t="s">
        <v>49</v>
      </c>
      <c r="E3" t="s">
        <v>52</v>
      </c>
      <c r="F3" s="6"/>
      <c r="H3" s="4" t="s">
        <v>49</v>
      </c>
      <c r="I3" t="s">
        <v>51</v>
      </c>
      <c r="J3" s="6"/>
      <c r="L3" s="4" t="s">
        <v>49</v>
      </c>
      <c r="M3" t="s">
        <v>53</v>
      </c>
    </row>
    <row r="4" spans="1:13" x14ac:dyDescent="0.3">
      <c r="A4" s="5" t="s">
        <v>41</v>
      </c>
      <c r="B4" s="8">
        <v>165000</v>
      </c>
      <c r="C4" s="6"/>
      <c r="D4" s="5" t="s">
        <v>41</v>
      </c>
      <c r="E4" s="8">
        <v>165000</v>
      </c>
      <c r="F4" s="6"/>
      <c r="H4" s="5" t="s">
        <v>41</v>
      </c>
      <c r="I4" s="8">
        <v>165000</v>
      </c>
      <c r="J4" s="6"/>
      <c r="L4" s="5" t="s">
        <v>41</v>
      </c>
      <c r="M4" s="8">
        <v>165000</v>
      </c>
    </row>
    <row r="5" spans="1:13" x14ac:dyDescent="0.3">
      <c r="A5" s="5" t="s">
        <v>22</v>
      </c>
      <c r="B5" s="8">
        <v>36000</v>
      </c>
      <c r="C5" s="6"/>
      <c r="D5" s="5" t="s">
        <v>22</v>
      </c>
      <c r="E5" s="8">
        <v>36000</v>
      </c>
      <c r="F5" s="6"/>
      <c r="H5" s="5" t="s">
        <v>22</v>
      </c>
      <c r="I5" s="8">
        <v>36000</v>
      </c>
      <c r="J5" s="6"/>
      <c r="L5" s="5" t="s">
        <v>22</v>
      </c>
      <c r="M5" s="8">
        <v>36000</v>
      </c>
    </row>
    <row r="6" spans="1:13" x14ac:dyDescent="0.3">
      <c r="A6" s="5" t="s">
        <v>33</v>
      </c>
      <c r="B6" s="8">
        <v>7500</v>
      </c>
      <c r="C6" s="6"/>
      <c r="D6" s="5" t="s">
        <v>33</v>
      </c>
      <c r="E6" s="8">
        <v>7500</v>
      </c>
      <c r="F6" s="6"/>
      <c r="H6" s="5" t="s">
        <v>33</v>
      </c>
      <c r="I6" s="8">
        <v>7500</v>
      </c>
      <c r="J6" s="6"/>
      <c r="L6" s="5" t="s">
        <v>33</v>
      </c>
      <c r="M6" s="8">
        <v>7500</v>
      </c>
    </row>
    <row r="7" spans="1:13" x14ac:dyDescent="0.3">
      <c r="A7" s="5" t="s">
        <v>47</v>
      </c>
      <c r="B7" s="8">
        <v>30000</v>
      </c>
      <c r="C7" s="6"/>
      <c r="D7" s="5" t="s">
        <v>47</v>
      </c>
      <c r="E7" s="8">
        <v>30000</v>
      </c>
      <c r="F7" s="6"/>
      <c r="H7" s="5" t="s">
        <v>47</v>
      </c>
      <c r="I7" s="8">
        <v>30000</v>
      </c>
      <c r="J7" s="6"/>
      <c r="L7" s="5" t="s">
        <v>47</v>
      </c>
      <c r="M7" s="8">
        <v>30000</v>
      </c>
    </row>
    <row r="8" spans="1:13" x14ac:dyDescent="0.3">
      <c r="A8" s="5" t="s">
        <v>50</v>
      </c>
      <c r="B8" s="8">
        <v>238500</v>
      </c>
      <c r="C8" s="6"/>
      <c r="D8" s="5" t="s">
        <v>50</v>
      </c>
      <c r="E8" s="8">
        <v>165000</v>
      </c>
      <c r="F8" s="6"/>
      <c r="H8" s="5" t="s">
        <v>50</v>
      </c>
      <c r="I8" s="8">
        <v>59625</v>
      </c>
      <c r="J8" s="6"/>
      <c r="L8" s="5" t="s">
        <v>50</v>
      </c>
      <c r="M8" s="8">
        <v>7500</v>
      </c>
    </row>
    <row r="9" spans="1:13" x14ac:dyDescent="0.3">
      <c r="C9" s="6"/>
      <c r="F9" s="7"/>
      <c r="G9" s="7"/>
      <c r="H9" s="7"/>
      <c r="I9" s="7"/>
      <c r="J9" s="6"/>
      <c r="K9" s="6"/>
    </row>
    <row r="10" spans="1:13" x14ac:dyDescent="0.3">
      <c r="C10" s="6"/>
      <c r="F10" s="7"/>
      <c r="G10" s="7"/>
      <c r="H10" s="7"/>
      <c r="I10" s="7"/>
      <c r="J10" s="6"/>
      <c r="K10" s="6"/>
    </row>
    <row r="11" spans="1:13" ht="165" customHeight="1" x14ac:dyDescent="0.3">
      <c r="A11" s="6"/>
      <c r="B11" s="6"/>
      <c r="C11" s="6"/>
      <c r="D11" s="6"/>
      <c r="E11" s="6"/>
      <c r="F11" s="6"/>
      <c r="G11" s="6"/>
      <c r="H11" s="6"/>
      <c r="I11" s="6"/>
      <c r="J11" s="6"/>
      <c r="K11" s="6"/>
      <c r="L11" s="6"/>
      <c r="M11" s="6"/>
    </row>
    <row r="12" spans="1:13" x14ac:dyDescent="0.3">
      <c r="A12" s="6"/>
      <c r="B12" s="6"/>
      <c r="C12" s="6"/>
      <c r="D12" s="6"/>
      <c r="E12" s="6"/>
      <c r="F12" s="6"/>
      <c r="G12" s="6"/>
      <c r="H12" s="6"/>
      <c r="I12" s="6"/>
      <c r="J12" s="6"/>
      <c r="K12" s="6"/>
      <c r="L12" s="6"/>
      <c r="M12" s="6"/>
    </row>
    <row r="13" spans="1:13" x14ac:dyDescent="0.3">
      <c r="A13" s="6"/>
      <c r="B13" s="6"/>
      <c r="C13" s="6"/>
      <c r="D13" s="6"/>
      <c r="E13" s="6"/>
      <c r="F13" s="6"/>
      <c r="G13" s="6"/>
      <c r="H13" s="6"/>
      <c r="I13" s="6"/>
      <c r="J13" s="6"/>
      <c r="K13" s="6"/>
      <c r="L13" s="6"/>
      <c r="M13" s="6"/>
    </row>
    <row r="14" spans="1:13" x14ac:dyDescent="0.3">
      <c r="A14" s="6"/>
      <c r="B14" s="6"/>
      <c r="C14" s="6"/>
      <c r="D14" s="6"/>
      <c r="E14" s="6"/>
      <c r="F14" s="6"/>
      <c r="G14" s="6"/>
      <c r="H14" s="6"/>
      <c r="I14" s="6"/>
      <c r="J14" s="6"/>
      <c r="K14" s="6"/>
      <c r="L14" s="6"/>
      <c r="M14"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297180</xdr:colOff>
                    <xdr:row>0</xdr:row>
                    <xdr:rowOff>198120</xdr:rowOff>
                  </from>
                  <to>
                    <xdr:col>1</xdr:col>
                    <xdr:colOff>762000</xdr:colOff>
                    <xdr:row>0</xdr:row>
                    <xdr:rowOff>487680</xdr:rowOff>
                  </to>
                </anchor>
              </controlPr>
            </control>
          </mc:Choice>
        </mc:AlternateContent>
        <mc:AlternateContent xmlns:mc="http://schemas.openxmlformats.org/markup-compatibility/2006">
          <mc:Choice Requires="x14">
            <control shapeId="2052" r:id="rId8" name="Check Box 4">
              <controlPr defaultSize="0" autoFill="0" autoLine="0" autoPict="0" macro="[0]!CheckBox4_Click">
                <anchor moveWithCells="1">
                  <from>
                    <xdr:col>11</xdr:col>
                    <xdr:colOff>289560</xdr:colOff>
                    <xdr:row>0</xdr:row>
                    <xdr:rowOff>129540</xdr:rowOff>
                  </from>
                  <to>
                    <xdr:col>12</xdr:col>
                    <xdr:colOff>601980</xdr:colOff>
                    <xdr:row>0</xdr:row>
                    <xdr:rowOff>419100</xdr:rowOff>
                  </to>
                </anchor>
              </controlPr>
            </control>
          </mc:Choice>
        </mc:AlternateContent>
        <mc:AlternateContent xmlns:mc="http://schemas.openxmlformats.org/markup-compatibility/2006">
          <mc:Choice Requires="x14">
            <control shapeId="2056" r:id="rId9" name="Check Box 8">
              <controlPr defaultSize="0" autoFill="0" autoLine="0" autoPict="0" macro="[0]!slicerconnection">
                <anchor moveWithCells="1">
                  <from>
                    <xdr:col>3</xdr:col>
                    <xdr:colOff>236220</xdr:colOff>
                    <xdr:row>0</xdr:row>
                    <xdr:rowOff>205740</xdr:rowOff>
                  </from>
                  <to>
                    <xdr:col>4</xdr:col>
                    <xdr:colOff>899160</xdr:colOff>
                    <xdr:row>0</xdr:row>
                    <xdr:rowOff>563880</xdr:rowOff>
                  </to>
                </anchor>
              </controlPr>
            </control>
          </mc:Choice>
        </mc:AlternateContent>
        <mc:AlternateContent xmlns:mc="http://schemas.openxmlformats.org/markup-compatibility/2006">
          <mc:Choice Requires="x14">
            <control shapeId="2057" r:id="rId10" name="Check Box 9">
              <controlPr defaultSize="0" autoFill="0" autoLine="0" autoPict="0" macro="[0]!CheckBox9_Click">
                <anchor moveWithCells="1">
                  <from>
                    <xdr:col>7</xdr:col>
                    <xdr:colOff>198120</xdr:colOff>
                    <xdr:row>0</xdr:row>
                    <xdr:rowOff>152400</xdr:rowOff>
                  </from>
                  <to>
                    <xdr:col>8</xdr:col>
                    <xdr:colOff>762000</xdr:colOff>
                    <xdr:row>0</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AFC0-C5E7-4372-BEA8-E1C99C67AB61}">
  <sheetPr codeName="Sheet2"/>
  <dimension ref="A1:H16"/>
  <sheetViews>
    <sheetView workbookViewId="0">
      <selection activeCell="E8" sqref="E8"/>
    </sheetView>
  </sheetViews>
  <sheetFormatPr defaultRowHeight="14.4" x14ac:dyDescent="0.3"/>
  <cols>
    <col min="1" max="1" width="7.88671875" bestFit="1" customWidth="1"/>
    <col min="2" max="2" width="10.33203125" bestFit="1" customWidth="1"/>
    <col min="3" max="3" width="6.5546875" bestFit="1" customWidth="1"/>
    <col min="4" max="4" width="8.33203125" bestFit="1" customWidth="1"/>
    <col min="5" max="5" width="8.44140625" bestFit="1" customWidth="1"/>
    <col min="6" max="6" width="8.109375" bestFit="1" customWidth="1"/>
    <col min="7" max="7" width="6" bestFit="1" customWidth="1"/>
    <col min="8" max="8" width="7" bestFit="1" customWidth="1"/>
    <col min="9" max="9" width="7.88671875" bestFit="1" customWidth="1"/>
    <col min="10" max="10" width="10.33203125" bestFit="1" customWidth="1"/>
    <col min="11" max="11" width="6.5546875" bestFit="1" customWidth="1"/>
  </cols>
  <sheetData>
    <row r="1" spans="1:8" ht="28.8" x14ac:dyDescent="0.3">
      <c r="A1" s="1" t="s">
        <v>0</v>
      </c>
      <c r="B1" s="1" t="s">
        <v>1</v>
      </c>
      <c r="C1" s="1" t="s">
        <v>2</v>
      </c>
      <c r="D1" s="1" t="s">
        <v>3</v>
      </c>
      <c r="E1" s="1" t="s">
        <v>4</v>
      </c>
      <c r="F1" s="1" t="s">
        <v>5</v>
      </c>
      <c r="G1" s="1" t="s">
        <v>6</v>
      </c>
      <c r="H1" s="1" t="s">
        <v>7</v>
      </c>
    </row>
    <row r="2" spans="1:8" x14ac:dyDescent="0.3">
      <c r="A2" s="2" t="s">
        <v>8</v>
      </c>
      <c r="B2" s="3">
        <v>46204</v>
      </c>
      <c r="C2" s="2" t="s">
        <v>9</v>
      </c>
      <c r="D2" s="2" t="s">
        <v>10</v>
      </c>
      <c r="E2" s="2" t="s">
        <v>11</v>
      </c>
      <c r="F2" s="2">
        <v>2</v>
      </c>
      <c r="G2" s="2">
        <v>55000</v>
      </c>
      <c r="H2" s="2">
        <v>110000</v>
      </c>
    </row>
    <row r="3" spans="1:8" x14ac:dyDescent="0.3">
      <c r="A3" s="2" t="s">
        <v>12</v>
      </c>
      <c r="B3" s="3">
        <v>46204</v>
      </c>
      <c r="C3" s="2" t="s">
        <v>13</v>
      </c>
      <c r="D3" s="2" t="s">
        <v>14</v>
      </c>
      <c r="E3" s="2" t="s">
        <v>15</v>
      </c>
      <c r="F3" s="2">
        <v>10</v>
      </c>
      <c r="G3" s="2">
        <v>500</v>
      </c>
      <c r="H3" s="2">
        <v>5000</v>
      </c>
    </row>
    <row r="4" spans="1:8" x14ac:dyDescent="0.3">
      <c r="A4" s="2" t="s">
        <v>16</v>
      </c>
      <c r="B4" s="3">
        <v>46205</v>
      </c>
      <c r="C4" s="2" t="s">
        <v>17</v>
      </c>
      <c r="D4" s="2" t="s">
        <v>18</v>
      </c>
      <c r="E4" s="2" t="s">
        <v>19</v>
      </c>
      <c r="F4" s="2">
        <v>5</v>
      </c>
      <c r="G4" s="2">
        <v>1200</v>
      </c>
      <c r="H4" s="2">
        <v>6000</v>
      </c>
    </row>
    <row r="5" spans="1:8" x14ac:dyDescent="0.3">
      <c r="A5" s="2" t="s">
        <v>20</v>
      </c>
      <c r="B5" s="3">
        <v>46205</v>
      </c>
      <c r="C5" s="2" t="s">
        <v>21</v>
      </c>
      <c r="D5" s="2" t="s">
        <v>22</v>
      </c>
      <c r="E5" s="2" t="s">
        <v>23</v>
      </c>
      <c r="F5" s="2">
        <v>3</v>
      </c>
      <c r="G5" s="2">
        <v>12000</v>
      </c>
      <c r="H5" s="2">
        <v>36000</v>
      </c>
    </row>
    <row r="6" spans="1:8" x14ac:dyDescent="0.3">
      <c r="A6" s="2" t="s">
        <v>24</v>
      </c>
      <c r="B6" s="3">
        <v>46206</v>
      </c>
      <c r="C6" s="2" t="s">
        <v>9</v>
      </c>
      <c r="D6" s="2" t="s">
        <v>25</v>
      </c>
      <c r="E6" s="2" t="s">
        <v>26</v>
      </c>
      <c r="F6" s="2">
        <v>2</v>
      </c>
      <c r="G6" s="2">
        <v>15000</v>
      </c>
      <c r="H6" s="2">
        <v>30000</v>
      </c>
    </row>
    <row r="7" spans="1:8" x14ac:dyDescent="0.3">
      <c r="A7" s="2" t="s">
        <v>27</v>
      </c>
      <c r="B7" s="3">
        <v>46206</v>
      </c>
      <c r="C7" s="2" t="s">
        <v>13</v>
      </c>
      <c r="D7" s="2" t="s">
        <v>28</v>
      </c>
      <c r="E7" s="2" t="s">
        <v>11</v>
      </c>
      <c r="F7" s="2">
        <v>1</v>
      </c>
      <c r="G7" s="2">
        <v>60000</v>
      </c>
      <c r="H7" s="2">
        <v>60000</v>
      </c>
    </row>
    <row r="8" spans="1:8" ht="28.8" x14ac:dyDescent="0.3">
      <c r="A8" s="2" t="s">
        <v>29</v>
      </c>
      <c r="B8" s="3">
        <v>46207</v>
      </c>
      <c r="C8" s="2" t="s">
        <v>17</v>
      </c>
      <c r="D8" s="2" t="s">
        <v>30</v>
      </c>
      <c r="E8" s="2" t="s">
        <v>31</v>
      </c>
      <c r="F8" s="2">
        <v>8</v>
      </c>
      <c r="G8" s="2">
        <v>2500</v>
      </c>
      <c r="H8" s="2">
        <v>20000</v>
      </c>
    </row>
    <row r="9" spans="1:8" x14ac:dyDescent="0.3">
      <c r="A9" s="2" t="s">
        <v>32</v>
      </c>
      <c r="B9" s="3">
        <v>46207</v>
      </c>
      <c r="C9" s="2" t="s">
        <v>21</v>
      </c>
      <c r="D9" s="2" t="s">
        <v>33</v>
      </c>
      <c r="E9" s="2" t="s">
        <v>15</v>
      </c>
      <c r="F9" s="2">
        <v>15</v>
      </c>
      <c r="G9" s="2">
        <v>500</v>
      </c>
      <c r="H9" s="2">
        <v>7500</v>
      </c>
    </row>
    <row r="10" spans="1:8" x14ac:dyDescent="0.3">
      <c r="A10" s="2" t="s">
        <v>34</v>
      </c>
      <c r="B10" s="3">
        <v>46208</v>
      </c>
      <c r="C10" s="2" t="s">
        <v>9</v>
      </c>
      <c r="D10" s="2" t="s">
        <v>35</v>
      </c>
      <c r="E10" s="2" t="s">
        <v>19</v>
      </c>
      <c r="F10" s="2">
        <v>6</v>
      </c>
      <c r="G10" s="2">
        <v>1200</v>
      </c>
      <c r="H10" s="2">
        <v>7200</v>
      </c>
    </row>
    <row r="11" spans="1:8" x14ac:dyDescent="0.3">
      <c r="A11" s="2" t="s">
        <v>36</v>
      </c>
      <c r="B11" s="3">
        <v>46208</v>
      </c>
      <c r="C11" s="2" t="s">
        <v>13</v>
      </c>
      <c r="D11" s="2" t="s">
        <v>37</v>
      </c>
      <c r="E11" s="2" t="s">
        <v>23</v>
      </c>
      <c r="F11" s="2">
        <v>2</v>
      </c>
      <c r="G11" s="2">
        <v>12000</v>
      </c>
      <c r="H11" s="2">
        <v>24000</v>
      </c>
    </row>
    <row r="12" spans="1:8" x14ac:dyDescent="0.3">
      <c r="A12" s="2" t="s">
        <v>38</v>
      </c>
      <c r="B12" s="3">
        <v>46209</v>
      </c>
      <c r="C12" s="2" t="s">
        <v>17</v>
      </c>
      <c r="D12" s="2" t="s">
        <v>39</v>
      </c>
      <c r="E12" s="2" t="s">
        <v>26</v>
      </c>
      <c r="F12" s="2">
        <v>1</v>
      </c>
      <c r="G12" s="2">
        <v>15000</v>
      </c>
      <c r="H12" s="2">
        <v>15000</v>
      </c>
    </row>
    <row r="13" spans="1:8" x14ac:dyDescent="0.3">
      <c r="A13" s="2" t="s">
        <v>40</v>
      </c>
      <c r="B13" s="3">
        <v>46209</v>
      </c>
      <c r="C13" s="2" t="s">
        <v>21</v>
      </c>
      <c r="D13" s="2" t="s">
        <v>41</v>
      </c>
      <c r="E13" s="2" t="s">
        <v>11</v>
      </c>
      <c r="F13" s="2">
        <v>3</v>
      </c>
      <c r="G13" s="2">
        <v>55000</v>
      </c>
      <c r="H13" s="2">
        <v>165000</v>
      </c>
    </row>
    <row r="14" spans="1:8" ht="28.8" x14ac:dyDescent="0.3">
      <c r="A14" s="2" t="s">
        <v>42</v>
      </c>
      <c r="B14" s="3">
        <v>46210</v>
      </c>
      <c r="C14" s="2" t="s">
        <v>9</v>
      </c>
      <c r="D14" s="2" t="s">
        <v>43</v>
      </c>
      <c r="E14" s="2" t="s">
        <v>31</v>
      </c>
      <c r="F14" s="2">
        <v>4</v>
      </c>
      <c r="G14" s="2">
        <v>2500</v>
      </c>
      <c r="H14" s="2">
        <v>10000</v>
      </c>
    </row>
    <row r="15" spans="1:8" x14ac:dyDescent="0.3">
      <c r="A15" s="2" t="s">
        <v>44</v>
      </c>
      <c r="B15" s="3">
        <v>46210</v>
      </c>
      <c r="C15" s="2" t="s">
        <v>13</v>
      </c>
      <c r="D15" s="2" t="s">
        <v>45</v>
      </c>
      <c r="E15" s="2" t="s">
        <v>19</v>
      </c>
      <c r="F15" s="2">
        <v>7</v>
      </c>
      <c r="G15" s="2">
        <v>1200</v>
      </c>
      <c r="H15" s="2">
        <v>8400</v>
      </c>
    </row>
    <row r="16" spans="1:8" x14ac:dyDescent="0.3">
      <c r="A16" s="2" t="s">
        <v>46</v>
      </c>
      <c r="B16" s="3">
        <v>46211</v>
      </c>
      <c r="C16" s="2" t="s">
        <v>21</v>
      </c>
      <c r="D16" s="2" t="s">
        <v>47</v>
      </c>
      <c r="E16" s="2" t="s">
        <v>26</v>
      </c>
      <c r="F16" s="2">
        <v>2</v>
      </c>
      <c r="G16" s="2">
        <v>15000</v>
      </c>
      <c r="H16" s="2">
        <v>30000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Ganesh Mastud</dc:creator>
  <cp:lastModifiedBy>Ganesh Mastud</cp:lastModifiedBy>
  <dcterms:created xsi:type="dcterms:W3CDTF">2026-07-04T10:11:38Z</dcterms:created>
  <dcterms:modified xsi:type="dcterms:W3CDTF">2026-08-19T14:13:01Z</dcterms:modified>
</cp:coreProperties>
</file>